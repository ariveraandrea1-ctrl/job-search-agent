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Registro y acceso" sheetId="2" state="visible" r:id="rId4"/>
    <sheet name="CV y perfil" sheetId="3" state="visible" r:id="rId5"/>
    <sheet name="Radar" sheetId="4" state="visible" r:id="rId6"/>
    <sheet name="Consultas por Telegram" sheetId="5" state="visible" r:id="rId7"/>
    <sheet name="Resumen diario" sheetId="6" state="visible" r:id="rId8"/>
    <sheet name="Fallos y recuperación" sheetId="7" state="visible" r:id="rId9"/>
    <sheet name="Operación" sheetId="8" state="visible" r:id="rId10"/>
    <sheet name="Defecto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<sst xmlns="http://schemas.openxmlformats.org/spreadsheetml/2006/main" count="343" uniqueCount="240">
  <si>
    <t xml:space="preserve">Casos de prueba E2E del Proyecto 1 (job-search-agent)</t>
  </si>
  <si>
    <t xml:space="preserve">Ejecutados del 7 al 11 de octubre de 2026 por Andrea Rivera, incluidos los re-tests de los 5 defectos. Detalle y evidencias en docs/testing/plan-pruebas-e2e.md.</t>
  </si>
  <si>
    <t xml:space="preserve">Hoja</t>
  </si>
  <si>
    <t xml:space="preserve">Casos</t>
  </si>
  <si>
    <t xml:space="preserve">Passed</t>
  </si>
  <si>
    <t xml:space="preserve">Failed</t>
  </si>
  <si>
    <t xml:space="preserve">% Passed</t>
  </si>
  <si>
    <t xml:space="preserve">Registro y acceso</t>
  </si>
  <si>
    <t xml:space="preserve">CV y perfil</t>
  </si>
  <si>
    <t xml:space="preserve">Radar</t>
  </si>
  <si>
    <t xml:space="preserve">Consultas por Telegram</t>
  </si>
  <si>
    <t xml:space="preserve">Resumen diario</t>
  </si>
  <si>
    <t xml:space="preserve">Fallos y recuperación</t>
  </si>
  <si>
    <t xml:space="preserve">Operación</t>
  </si>
  <si>
    <t xml:space="preserve">Total</t>
  </si>
  <si>
    <t xml:space="preserve">Incluye 30 casos del plan y 2 pruebas exploratorias (EXP-01 y EXP-02). Las cifras se calculan solas a partir de la columna Estatus de cada hoja.</t>
  </si>
  <si>
    <t xml:space="preserve">No</t>
  </si>
  <si>
    <t xml:space="preserve">Caso de Prueba</t>
  </si>
  <si>
    <t xml:space="preserve">Datos de la prueba</t>
  </si>
  <si>
    <t xml:space="preserve">Pasos</t>
  </si>
  <si>
    <t xml:space="preserve">Resultado esperado</t>
  </si>
  <si>
    <t xml:space="preserve">Resultado obtenido</t>
  </si>
  <si>
    <t xml:space="preserve">Estatus</t>
  </si>
  <si>
    <t xml:space="preserve">Enlace al defecto</t>
  </si>
  <si>
    <t xml:space="preserve">E2E-01</t>
  </si>
  <si>
    <t xml:space="preserve">Verificar que una persona invitada pueda registrarse con un código válido y que solo vea sus propios datos.</t>
  </si>
  <si>
    <t xml:space="preserve">Admin: cuenta de Andrea
Código generado: A3JFN2BN
Usuario nuevo: cuenta de Telegram sin registrar (ayudante)</t>
  </si>
  <si>
    <t xml:space="preserve">1. La admin escribe /invitar y copia el código.
2. La persona nueva escribe /start A3JFN2BN.
3. La persona nueva escribe /nuevas, /perfil y /preferencias.</t>
  </si>
  <si>
    <t xml:space="preserve">- Mensaje "¡Listo, ya tienes acceso!".
- Queda registrada como usuario activo.
- No ve vacantes, perfil ni palabras clave de la admin.</t>
  </si>
  <si>
    <t xml:space="preserve">- Recibe "¡Listo, ya tienes acceso!" con las instrucciones para enviar el CV.
- /nuevas: "No hay vacantes nuevas por revisar".
- /perfil y /preferencias muestran solo sus datos; al cambiar sus palabras no cambian las de la admin.</t>
  </si>
  <si>
    <t xml:space="preserve">E2E-02</t>
  </si>
  <si>
    <t xml:space="preserve">Verificar que una persona sin invitación no pueda usar el bot.</t>
  </si>
  <si>
    <t xml:space="preserve">Dos cuentas de Telegram sin registrar
Mensaje: hola</t>
  </si>
  <si>
    <t xml:space="preserve">1. Abrir el bot desde una cuenta sin registrar.
2. Escribir hola.</t>
  </si>
  <si>
    <t xml:space="preserve">- El bot responde que funciona solo por invitación.
- La persona no queda registrada.</t>
  </si>
  <si>
    <t xml:space="preserve">- Las dos cuentas reciben "Hola. Este bot funciona solo por invitación..." con el ejemplo de /start.
- Ninguna queda registrada.</t>
  </si>
  <si>
    <t xml:space="preserve">E2E-03</t>
  </si>
  <si>
    <t xml:space="preserve">Verificar que un código de invitación ya usado no sirva para registrar a otra persona.</t>
  </si>
  <si>
    <t xml:space="preserve">Código: A3JFN2BN (ya usado por el ayudante)
Usuario: tercera persona sin registrar</t>
  </si>
  <si>
    <t xml:space="preserve">1. La tercera persona escribe /start A3JFN2BN.</t>
  </si>
  <si>
    <t xml:space="preserve">- Mensaje "Ese código ya fue usado".
- La persona no queda registrada.</t>
  </si>
  <si>
    <t xml:space="preserve">- Mensaje "Ese código ya fue usado. Pide una invitación nueva."
- No queda registrada.</t>
  </si>
  <si>
    <t xml:space="preserve">E2E-04</t>
  </si>
  <si>
    <t xml:space="preserve">Verificar que un usuario ya registrado que escribe /start reciba un mensaje normal.</t>
  </si>
  <si>
    <t xml:space="preserve">Cuenta de la admin (ya registrada)</t>
  </si>
  <si>
    <t xml:space="preserve">1. Escribir /start.</t>
  </si>
  <si>
    <t xml:space="preserve">- Mensaje "Ya tienes acceso..." sin datos raros (antes respondía el apellido, BUG-23).</t>
  </si>
  <si>
    <t xml:space="preserve">- "Ya tienes acceso. Escribe /perfil para ver tu perfil, /mejores para ver tus vacantes o envíame tu CV en PDF o Word."</t>
  </si>
  <si>
    <t xml:space="preserve">EXP-01</t>
  </si>
  <si>
    <t xml:space="preserve">Verificar que el bot rechace un código de invitación que no existe (prueba exploratoria).</t>
  </si>
  <si>
    <t xml:space="preserve">Códigos: ZZZZ9999 y zzz9999
Usuarios: ayudante y tercera persona, sin registrar</t>
  </si>
  <si>
    <t xml:space="preserve">1. Escribir /start ZZZZ9999 (ayudante).
2. Escribir /start zzz9999 (tercera persona).</t>
  </si>
  <si>
    <t xml:space="preserve">- Mensaje "Ese código no existe".
- No se registra.</t>
  </si>
  <si>
    <t xml:space="preserve">- Las dos reciben "Ese código no existe. Revisa que lo hayas copiado completo."
- Ninguna queda registrada.</t>
  </si>
  <si>
    <t xml:space="preserve">E2E-05</t>
  </si>
  <si>
    <t xml:space="preserve">Verificar que /subir_cv explique cómo enviar la hoja de vida.</t>
  </si>
  <si>
    <t xml:space="preserve">Comando: /subir_cv</t>
  </si>
  <si>
    <t xml:space="preserve">1. Escribir /subir_cv.</t>
  </si>
  <si>
    <t xml:space="preserve">- Instrucciones claras: formatos aceptados y qué pasa después.</t>
  </si>
  <si>
    <t xml:space="preserve">- Explica que se envía como archivo en PDF o Word (.docx), que la nueva reemplaza a la anterior (la vieja queda como versión) y advierte que un PDF escaneado no se puede leer.</t>
  </si>
  <si>
    <t xml:space="preserve">E2E-06</t>
  </si>
  <si>
    <t xml:space="preserve">Verificar que el bot lea un CV en PDF y actualice el perfil.</t>
  </si>
  <si>
    <t xml:space="preserve">Archivo: Hoja ok.pdf (124 KB, PDF con texto)</t>
  </si>
  <si>
    <t xml:space="preserve">1. Enviar el PDF al bot como archivo.
2. Escribir /perfil.</t>
  </si>
  <si>
    <t xml:space="preserve">- Confirma cuántos caracteres leyó.
- El perfil se actualiza.
- Solo pregunta lo que falta.</t>
  </si>
  <si>
    <t xml:space="preserve">- "¡Recibí tu archivo y extraje 5967 caracteres de texto!"
- /perfil muestra experiencia, proyectos, habilidades e idiomas del CV.
- Solo preguntó el nivel de inglés, que era lo único pendiente.
- No se revisó MinIO en esta ejecución (se verificó en la reconstrucción del 7 oct).</t>
  </si>
  <si>
    <t xml:space="preserve">E2E-07</t>
  </si>
  <si>
    <t xml:space="preserve">Verificar que el bot lea el mismo CV en Word (DOCX).</t>
  </si>
  <si>
    <t xml:space="preserve">Archivo: Andrea_Rivera_Amador_CV_ES.docx (11,4 KB)</t>
  </si>
  <si>
    <t xml:space="preserve">1. Enviar el DOCX al bot como archivo.</t>
  </si>
  <si>
    <t xml:space="preserve">- Igual que con el PDF: confirma caracteres y actualiza el perfil.</t>
  </si>
  <si>
    <t xml:space="preserve">- "¡Recibí tu archivo y extraje 5935 caracteres de texto!"
- "No tengo preguntas pendientes para tu perfil."</t>
  </si>
  <si>
    <t xml:space="preserve">E2E-08</t>
  </si>
  <si>
    <t xml:space="preserve">Verificar que un PDF escaneado (solo imagen) no cree un perfil vacío.</t>
  </si>
  <si>
    <t xml:space="preserve">Archivo: prueba captura.pdf (419,5 KB, solo imagen)</t>
  </si>
  <si>
    <t xml:space="preserve">1. Enviar el PDF escaneado como archivo.
2. Escribir /perfil.</t>
  </si>
  <si>
    <t xml:space="preserve">- Avisa que no pudo leer el archivo.
- No crea un perfil vacío (BUG-24).</t>
  </si>
  <si>
    <t xml:space="preserve">- "No pude leer texto en tu archivo. Parece una imagen o un PDF escaneado..." y sugiere usar Word o un PDF exportado.
- /perfil sigue completo.</t>
  </si>
  <si>
    <t xml:space="preserve">E2E-09</t>
  </si>
  <si>
    <t xml:space="preserve">Verificar que al reenviar el CV el bot no repita preguntas ya respondidas.</t>
  </si>
  <si>
    <t xml:space="preserve">CV en PDF con la entrevista ya respondida (salvo inglés)</t>
  </si>
  <si>
    <t xml:space="preserve">1. Reenviar el CV.
2. Revisar qué preguntas hace.
3. Escribir /perfil.</t>
  </si>
  <si>
    <t xml:space="preserve">- Solo pregunta lo que falta (BUG-26).</t>
  </si>
  <si>
    <t xml:space="preserve">- Solo preguntó el nivel de inglés.
- /perfil indicaba "Me falta saber: Inglés", así que la pregunta era la correcta.</t>
  </si>
  <si>
    <t xml:space="preserve">E2E-10</t>
  </si>
  <si>
    <t xml:space="preserve">Verificar que /completar_perfil responda bien cuando no falta nada.</t>
  </si>
  <si>
    <t xml:space="preserve">Perfil con todas las preguntas respondidas</t>
  </si>
  <si>
    <t xml:space="preserve">1. Escribir /completar_perfil.</t>
  </si>
  <si>
    <t xml:space="preserve">- "No tengo preguntas pendientes..." sin errores (BUG-30).</t>
  </si>
  <si>
    <t xml:space="preserve">- "No tengo preguntas pendientes para tu perfil. Escribe /perfil para verlo..." El mensaje con "_" llegó completo.</t>
  </si>
  <si>
    <t xml:space="preserve">E2E-11</t>
  </si>
  <si>
    <t xml:space="preserve">Verificar que se pueda corregir un dato del perfil con /corregir.</t>
  </si>
  <si>
    <t xml:space="preserve">Comando: /corregir salario
Valor nuevo: 3.000.000</t>
  </si>
  <si>
    <t xml:space="preserve">1. Escribir /corregir salario.
2. Responder 3.000.000.
3. Escribir /perfil.</t>
  </si>
  <si>
    <t xml:space="preserve">- La corrección se guarda.
- Aparece en /perfil.</t>
  </si>
  <si>
    <t xml:space="preserve">- "Listo, actualicé ese dato de tu perfil."
- /perfil muestra "Aspiración salarial: 3.000.000".</t>
  </si>
  <si>
    <t xml:space="preserve">E2E-12</t>
  </si>
  <si>
    <t xml:space="preserve">Verificar que una alerta de empleo que llega por correo genere un aviso en Telegram.</t>
  </si>
  <si>
    <t xml:space="preserve">Alerta real de LinkedIn en la etiqueta Radar de Gmail (8 oct)
Flujo: radar-correo</t>
  </si>
  <si>
    <t xml:space="preserve">1. Esperar una alerta real (no reenviada: el lector se elige por el remitente).
2. Revisar el aviso en Telegram.
3. Revisar la pestaña Ejecuciones de radar-correo en n8n.</t>
  </si>
  <si>
    <t xml:space="preserve">- Llega un aviso por Telegram con cada vacante y su link.
- La ejecución en n8n termina sin errores.</t>
  </si>
  <si>
    <t xml:space="preserve">- 1:24 p. m.: "4 oportunidades nuevas de LinkedIn", cada una con su link.
- La ejecución de las 13:24 terminó bien. La de las 14:36 no avisó porque el correo no traía vacantes nuevas.</t>
  </si>
  <si>
    <t xml:space="preserve">E2E-13</t>
  </si>
  <si>
    <t xml:space="preserve">Verificar que el radar de Get on Board traiga vacantes y avise cuando hay nuevas.</t>
  </si>
  <si>
    <t xml:space="preserve">Flujo: radar-getonbrd (ejecución manual)
Categorías: SysAdmin/DevOps/QA, ML/IA, Atención al cliente, Soporte técnico</t>
  </si>
  <si>
    <t xml:space="preserve">1. Ejecutar radar-getonbrd a mano en n8n.
2. Revisar el resultado del nodo "Guardar vacantes de Get on Board".
3. Revisar el historial de ejecuciones.</t>
  </si>
  <si>
    <t xml:space="preserve">- El flujo termina sin errores.
- Si hay vacantes nuevas que coinciden, llegan por Telegram.</t>
  </si>
  <si>
    <t xml:space="preserve">- Revisó 156 vacantes en las 4 categorías, sin errores. No había nuevas para el usuario.
- En el historial, el 6 oct sí envió un aviso por Telegram.
- Corre cada hora con normalidad.</t>
  </si>
  <si>
    <t xml:space="preserve">E2E-14</t>
  </si>
  <si>
    <t xml:space="preserve">Verificar que se pueda agregar una vacante con /vacante y quede guardada con número.</t>
  </si>
  <si>
    <t xml:space="preserve">Link: https://www.linkedin.com/jobs/search-results/?currentJobId=4477446145&amp;...</t>
  </si>
  <si>
    <t xml:space="preserve">1. Escribir /vacante seguido del link.
2. Escribir /nuevas.</t>
  </si>
  <si>
    <t xml:space="preserve">- La vacante se guarda.
- La respuesta muestra su número para usar /detalle.</t>
  </si>
  <si>
    <t xml:space="preserve">- Primera ejecución (8 oct): "Guardé la vacante (LinkedIn)" con el link limpio (jobs/view/4477446145), pero sin número. En /nuevas aparece como #367 (BUG-33).
- Re-test (10 oct, después de corregir BUG-33): "Guardé la vacante #400 (LinkedIn)" con /detalle 400, /guardar 400 y /descartar 400.</t>
  </si>
  <si>
    <t xml:space="preserve">BUG-33</t>
  </si>
  <si>
    <t xml:space="preserve">E2E-15</t>
  </si>
  <si>
    <t xml:space="preserve">Verificar que una vacante que ya existe no se duplique al agregarla con /vacante.</t>
  </si>
  <si>
    <t xml:space="preserve">Link de la #303: https://www.linkedin.com/jobs/view/4258064259/</t>
  </si>
  <si>
    <t xml:space="preserve">1. Escribir /vacante con el link de la #303.
2. Escribir /nuevas.</t>
  </si>
  <si>
    <t xml:space="preserve">- "Esa vacante ya la tenías guardada".
- No se crea otra.</t>
  </si>
  <si>
    <t xml:space="preserve">- "Esa vacante ya la tenías guardada (LinkedIn)" con el título de BairesDev.
- En /nuevas no apareció otra copia.
- La respuesta tampoco muestra el número (BUG-33).
- Re-test (10 oct): "Esa vacante ya la tenías guardada (#400, LinkedIn)", el mismo número de cuando se guardó. En /nuevas aparece una sola vez.</t>
  </si>
  <si>
    <t xml:space="preserve">EXP-02</t>
  </si>
  <si>
    <t xml:space="preserve">Verificar que el mismo link con parámetros de seguimiento se reconozca como la misma vacante (prueba exploratoria).</t>
  </si>
  <si>
    <t xml:space="preserve">Link: https://www.linkedin.com/jobs/view/4258064259/?refId=abc123&amp;trackingId=xyz</t>
  </si>
  <si>
    <t xml:space="preserve">1. Escribir /vacante con el link con parámetros.</t>
  </si>
  <si>
    <t xml:space="preserve">- Se reconoce como la #303 y no se duplica.</t>
  </si>
  <si>
    <t xml:space="preserve">- "Esa vacante ya la tenías guardada (LinkedIn)". No se duplicó.</t>
  </si>
  <si>
    <t xml:space="preserve">E2E-16</t>
  </si>
  <si>
    <t xml:space="preserve">Verificar que solo lleguen vacantes con las palabras clave del usuario en el título.</t>
  </si>
  <si>
    <t xml:space="preserve">Palabras: qa, test, sdet, pruebas, calidad, automatiza, automation, n8n, soporte, mesa de ayuda, atencion al cliente, servicio al cliente, ia, ai, artificial</t>
  </si>
  <si>
    <t xml:space="preserve">1. Escribir /nuevas.
2. Revisar el título de cada vacante.</t>
  </si>
  <si>
    <t xml:space="preserve">- Todos los títulos tienen alguna palabra clave.</t>
  </si>
  <si>
    <t xml:space="preserve">- Las 10 más recientes (#357 a #367) tienen alguna palabra clave en el título.</t>
  </si>
  <si>
    <t xml:space="preserve">E2E-17</t>
  </si>
  <si>
    <t xml:space="preserve">Verificar que no lleguen vacantes de otros países, aunque sean remotas.</t>
  </si>
  <si>
    <t xml:space="preserve">Avisos del radar del 8 oct</t>
  </si>
  <si>
    <t xml:space="preserve">1. Revisar los avisos que llegan por Telegram.</t>
  </si>
  <si>
    <t xml:space="preserve">- Ninguna vacante de otro país (por ejemplo México).</t>
  </si>
  <si>
    <t xml:space="preserve">- Primera ejecución (8 y 9 oct): pasó con la muestra de las 14:33, pero a las 5:24 p. m. llegó un aviso con vacantes en "Huixquilucán, MEX" y "Polanco, CMX" (BUG-35).
- Re-test (11 oct, prueba controlada con curl a /radar/email): 3 vacantes de QA en "Huixquilucán, MEX", "Polanco, CMX" y "Zapopan, Jalisco". Resultado: found 3, skipped 3, created 0.</t>
  </si>
  <si>
    <t xml:space="preserve">BUG-35</t>
  </si>
  <si>
    <t xml:space="preserve">E2E-18</t>
  </si>
  <si>
    <t xml:space="preserve">Verificar que /nuevas y /mejores muestren las vacantes con número, puntaje y link.</t>
  </si>
  <si>
    <t xml:space="preserve">Comandos: /nuevas y /mejores</t>
  </si>
  <si>
    <t xml:space="preserve">1. Escribir /nuevas.
2. Escribir /mejores.</t>
  </si>
  <si>
    <t xml:space="preserve">- Listas con número, título, empresa y link.
- /mejores ordenada de mayor a menor puntaje.</t>
  </si>
  <si>
    <t xml:space="preserve">- /nuevas: lista con número y link, las más recientes primero.
- /mejores: 75, 70, 70, 70, 65, 60, 60, 55.
- Las dos terminan con la ayuda de /detalle.</t>
  </si>
  <si>
    <t xml:space="preserve">E2E-19</t>
  </si>
  <si>
    <t xml:space="preserve">Verificar que se pueda ver el detalle de una vacante, guardarla y descartar otra.</t>
  </si>
  <si>
    <t xml:space="preserve">Vacante a guardar: #303
Vacante a descartar: #360</t>
  </si>
  <si>
    <t xml:space="preserve">1. /detalle 303
2. /guardar 303
3. /guardadas
4. /descartar 360
5. /nuevas</t>
  </si>
  <si>
    <t xml:space="preserve">- El detalle muestra puntaje, razones, inglés, nivel y link.
- La #303 aparece en /guardadas.
- La #360 ya no aparece en las listas.</t>
  </si>
  <si>
    <t xml:space="preserve">- Detalle con puntaje 70/100, inglés, nivel, puntos a favor y en contra, y link.
- La #303 aparece en /guardadas.
- La #360 ya no aparece en /nuevas.</t>
  </si>
  <si>
    <t xml:space="preserve">E2E-20</t>
  </si>
  <si>
    <t xml:space="preserve">Verificar que /buscar encuentre vacantes aunque se escriba sin tilde.</t>
  </si>
  <si>
    <t xml:space="preserve">Comando: /buscar bogota</t>
  </si>
  <si>
    <t xml:space="preserve">1. Escribir /buscar bogota.</t>
  </si>
  <si>
    <t xml:space="preserve">- Encuentra las vacantes con "Bogotá".
- Ordenadas por puntaje.</t>
  </si>
  <si>
    <t xml:space="preserve">- 7 resultados con "Bogotá" o "Bogota".
- Orden: 25, 25, 15, 15, 15, 0, 0.</t>
  </si>
  <si>
    <t xml:space="preserve">E2E-21</t>
  </si>
  <si>
    <t xml:space="preserve">Verificar que se puedan ver y cambiar las palabras clave con /preferencias.</t>
  </si>
  <si>
    <t xml:space="preserve">Lista de 16 palabras: las 15 de siempre más "tester"</t>
  </si>
  <si>
    <t xml:space="preserve">1. Escribir /preferencias.
2. Escribir /preferencias con las 16 palabras separadas por coma.
3. Escribir /preferencias otra vez.</t>
  </si>
  <si>
    <t xml:space="preserve">- El bot guarda las palabras nuevas, o avisa si alguna no se pudo guardar.</t>
  </si>
  <si>
    <t xml:space="preserve">- Primera ejecución (8 oct): responde "Listo, actualicé tu búsqueda", pero guarda solo 15. "tester" se descarta sin aviso (BUG-32).
- Re-test (10 oct, después de corregir BUG-32): guarda 15 y avisa "No guardé: tester". Con las 15 de siempre responde "Listo" sin aviso.
- Queda como observación que /preferencias con una sola palabra reemplaza toda la lista sin advertir.</t>
  </si>
  <si>
    <t xml:space="preserve">BUG-32</t>
  </si>
  <si>
    <t xml:space="preserve">E2E-22</t>
  </si>
  <si>
    <t xml:space="preserve">Verificar que el bot responda ante un comando mal escrito o un sticker.</t>
  </si>
  <si>
    <t xml:space="preserve">Comando: /ayudaa
Un sticker</t>
  </si>
  <si>
    <t xml:space="preserve">1. Escribir /ayudaa.
2. Enviar un sticker.</t>
  </si>
  <si>
    <t xml:space="preserve">- Responde con la lista de comandos.
- Nunca se queda callado.</t>
  </si>
  <si>
    <t xml:space="preserve">- En los dos casos responde con la lista de comandos.</t>
  </si>
  <si>
    <t xml:space="preserve">E2E-23</t>
  </si>
  <si>
    <t xml:space="preserve">Verificar que con el radar en pausa no lleguen avisos ni resumen, y que al reanudar vuelvan.</t>
  </si>
  <si>
    <t xml:space="preserve">Comandos: /pausar (8 oct, 5:38 p. m.) y /reanudar (10 oct)</t>
  </si>
  <si>
    <t xml:space="preserve">1. Escribir /pausar.
2. Esperar avisos del radar y el resumen de la mañana.
3. Escribir /reanudar.</t>
  </si>
  <si>
    <t xml:space="preserve">- En pausa no llegan avisos ni resumen.
- Al reanudar, el bot lo confirma y todo vuelve.</t>
  </si>
  <si>
    <t xml:space="preserve">- El resumen sí respeta la pausa: el del 10 oct corrió sin incluirme.
- Pero llegaron avisos de Indeed y LinkedIn a las 9:47 p. m. y 10:28 p. m.
- /reanudar responde "¡Bienvenida/o de vuelta! Tu radar está activo otra vez."
- Re-test (10 oct, después de corregir BUG-34): en pausa llegó una vacante nueva por correo; se guardó (created 1) pero avisar salió false y no llegó nada a Telegram.
- Regresión (10 y 11 oct): al reanudar, los avisos de correo volvieron a llegar.</t>
  </si>
  <si>
    <t xml:space="preserve">BUG-34</t>
  </si>
  <si>
    <t xml:space="preserve">E2E-24</t>
  </si>
  <si>
    <t xml:space="preserve">Verificar que el resumen diario llegue por Telegram y por correo.</t>
  </si>
  <si>
    <t xml:space="preserve">Flujo: radar-resumen-diario (ejecución manual, 10 oct)
Correo: Mailpit en http://localhost:8025</t>
  </si>
  <si>
    <t xml:space="preserve">1. Ejecutar radar-resumen-diario en n8n.
2. Revisar Telegram.
3. Revisar Mailpit.</t>
  </si>
  <si>
    <t xml:space="preserve">- Llega el resumen por Telegram.
- Aparece el correo en Mailpit.</t>
  </si>
  <si>
    <t xml:space="preserve">- Telegram, 3:18 p. m.: "Llegaron 19 vacante(s): Indeed 10, LinkedIn 9."
- Mailpit: "Tu resumen de vacantes del 10/10/2026" con las mismas cifras.</t>
  </si>
  <si>
    <t xml:space="preserve">E2E-25</t>
  </si>
  <si>
    <t xml:space="preserve">Verificar que el resumen no se envíe dos veces el mismo día.</t>
  </si>
  <si>
    <t xml:space="preserve">Segunda ejecución manual de radar-resumen-diario el 10 oct</t>
  </si>
  <si>
    <t xml:space="preserve">1. Ejecutar radar-resumen-diario otra vez.
2. Esperar un minuto.
3. Revisar Telegram y Mailpit.</t>
  </si>
  <si>
    <t xml:space="preserve">- No llega un segundo resumen ni un segundo correo.</t>
  </si>
  <si>
    <t xml:space="preserve">- Sigue habiendo un solo resumen en Telegram y un solo correo en Mailpit ("1-1 de 1").</t>
  </si>
  <si>
    <t xml:space="preserve">E2E-26</t>
  </si>
  <si>
    <t xml:space="preserve">Verificar que si Groq falla responda Gemini y no se pierdan puntajes.</t>
  </si>
  <si>
    <t xml:space="preserve">Endpoint: http://localhost:8000/telemetria/ia?dias=2</t>
  </si>
  <si>
    <t xml:space="preserve">1. Abrir el endpoint de telemetría.
2. Revisar llamadas por proveedor, respaldo y errores.</t>
  </si>
  <si>
    <t xml:space="preserve">- Hay llamadas resueltas por Gemini como respaldo.
- Errores en 0 o muy pocos.</t>
  </si>
  <si>
    <t xml:space="preserve">- 97 llamadas: Groq 75 y Gemini 22 (23 % por respaldo).
- 0 errores. Costo US$ 0.</t>
  </si>
  <si>
    <t xml:space="preserve">E2E-27</t>
  </si>
  <si>
    <t xml:space="preserve">Verificar que si se cae profile-api llegue una alerta y el sistema se recupere sin duplicar.</t>
  </si>
  <si>
    <t xml:space="preserve">docker compose stop profile-api (corte de unos 2 min)
Comando: /nuevas</t>
  </si>
  <si>
    <t xml:space="preserve">1. Apagar profile-api.
2. Escribir /nuevas.
3. Prender profile-api.
4. Escribir /nuevas otra vez.</t>
  </si>
  <si>
    <t xml:space="preserve">- Llega una alerta por Telegram.
- Al volver, todo funciona sin duplicados.</t>
  </si>
  <si>
    <t xml:space="preserve">- Llegaron 2 alertas (verificar-acceso y telegram-invitacion).
- Al prenderlo, /nuevas respondió igual que antes, sin duplicados.</t>
  </si>
  <si>
    <t xml:space="preserve">E2E-28</t>
  </si>
  <si>
    <t xml:space="preserve">Verificar que si Telegram reenvía un mensaje no se procese dos veces.</t>
  </si>
  <si>
    <t xml:space="preserve">Script: python3 scripts/probar-idempotencia.py</t>
  </si>
  <si>
    <t xml:space="preserve">1. Correr el script.</t>
  </si>
  <si>
    <t xml:space="preserve">- 15 de 15 casos pasan.</t>
  </si>
  <si>
    <t xml:space="preserve">- 15/15 (7 oct, sesión de reconstrucción).</t>
  </si>
  <si>
    <t xml:space="preserve">E2E-29</t>
  </si>
  <si>
    <t xml:space="preserve">Verificar que el respaldo de PostgreSQL y MinIO se pueda restaurar completo.</t>
  </si>
  <si>
    <t xml:space="preserve">Scripts: bash scripts/backup-db.sh y bash scripts/probar-restauracion.sh</t>
  </si>
  <si>
    <t xml:space="preserve">1. Sacar el respaldo.
2. Correr la prueba de restauración.</t>
  </si>
  <si>
    <t xml:space="preserve">- Las 8 tablas y MinIO quedan igual que en el original.</t>
  </si>
  <si>
    <t xml:space="preserve">- 8/8 tablas y MinIO con la misma huella (7 oct).</t>
  </si>
  <si>
    <t xml:space="preserve">E2E-30</t>
  </si>
  <si>
    <t xml:space="preserve">Verificar que el sistema se pueda reconstruir desde cero con el repositorio y el .env.example.</t>
  </si>
  <si>
    <t xml:space="preserve">Runbook: docs/runbooks/reconstruccion.md
Carpeta nueva y otro bot de Telegram</t>
  </si>
  <si>
    <t xml:space="preserve">1. Seguir el runbook en una carpeta nueva.
2. Probar el bot, un CV y las pruebas automáticas.</t>
  </si>
  <si>
    <t xml:space="preserve">- Bot, CV, IA, MinIO y pruebas funcionan.</t>
  </si>
  <si>
    <t xml:space="preserve">- 15 migraciones, 8 flujos, bot respondiendo, CV procesado y guardado en MinIO, aislamiento 42/42, idempotencia 15/15 (7 oct).</t>
  </si>
  <si>
    <t xml:space="preserve">ID</t>
  </si>
  <si>
    <t xml:space="preserve">Título</t>
  </si>
  <si>
    <t xml:space="preserve">Severidad</t>
  </si>
  <si>
    <t xml:space="preserve">Prioridad</t>
  </si>
  <si>
    <t xml:space="preserve">Caso que lo detectó</t>
  </si>
  <si>
    <t xml:space="preserve">Estado</t>
  </si>
  <si>
    <t xml:space="preserve">Enlace</t>
  </si>
  <si>
    <t xml:space="preserve">/preferencias descarta en silencio las palabras después de la 15</t>
  </si>
  <si>
    <t xml:space="preserve">Baja</t>
  </si>
  <si>
    <t xml:space="preserve">Media</t>
  </si>
  <si>
    <t xml:space="preserve">Corregido y probado (2026-10-10)</t>
  </si>
  <si>
    <t xml:space="preserve">Ver en la bitácora</t>
  </si>
  <si>
    <t xml:space="preserve">/vacante no muestra el número de la vacante</t>
  </si>
  <si>
    <t xml:space="preserve">Con el radar en pausa siguen llegando avisos por correo</t>
  </si>
  <si>
    <t xml:space="preserve">Alta</t>
  </si>
  <si>
    <t xml:space="preserve">Corregido y probado (2026-10-11)</t>
  </si>
  <si>
    <t xml:space="preserve">El filtro de ubicación deja pasar México escrito "MEX" o "CMX"</t>
  </si>
  <si>
    <t xml:space="preserve">BUG-36</t>
  </si>
  <si>
    <t xml:space="preserve">Después de reiniciar, el bot no recibe mensajes y start-local.sh dice "Listo"</t>
  </si>
  <si>
    <t xml:space="preserve">El BUG-36 apareció durante el caso E2E-23. El detalle completo de cada bug está en docs/bitacora-bugs.md.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</si>
</sst>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1"/>
      <color rgb="FF434343"/>
      <name val="Arial"/>
      <family val="0"/>
      <charset val="1"/>
    </font>
    <font>
      <b val="true"/>
      <sz val="11"/>
      <color rgb="FF434343"/>
      <name val="Arial"/>
      <family val="0"/>
      <charset val="1"/>
    </font>
    <font>
      <i val="true"/>
      <sz val="11"/>
      <color rgb="FF434343"/>
      <name val="Arial"/>
      <family val="0"/>
      <charset val="1"/>
    </font>
    <font>
      <u val="single"/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github.com/ariveraandrea1-ctrl/job-search-agent/blob/develop/docs/bitacora-bugs.md" TargetMode="External"/><Relationship Id="rId2" Type="http://schemas.openxmlformats.org/officeDocument/2006/relationships/hyperlink" Target="https://github.com/ariveraandrea1-ctrl/job-search-agent/blob/develop/docs/bitacora-bugs.md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github.com/ariveraandrea1-ctrl/job-search-agent/blob/develop/docs/bitacora-bugs.md" TargetMode="External"/><Relationship Id="rId2" Type="http://schemas.openxmlformats.org/officeDocument/2006/relationships/hyperlink" Target="https://github.com/ariveraandrea1-ctrl/job-search-agent/blob/develop/docs/bitacora-bugs.md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github.com/ariveraandrea1-ctrl/job-search-agent/blob/develop/docs/bitacora-bugs.md" TargetMode="External"/><Relationship Id="rId2" Type="http://schemas.openxmlformats.org/officeDocument/2006/relationships/hyperlink" Target="https://github.com/ariveraandrea1-ctrl/job-search-agent/blob/develop/docs/bitacora-bugs.md" TargetMode="External"/><Relationship Id="rId3" Type="http://schemas.openxmlformats.org/officeDocument/2006/relationships/hyperlink" Target="https://github.com/ariveraandrea1-ctrl/job-search-agent/blob/develop/docs/bitacora-bugs.md" TargetMode="External"/><Relationship Id="rId4" Type="http://schemas.openxmlformats.org/officeDocument/2006/relationships/hyperlink" Target="https://github.com/ariveraandrea1-ctrl/job-search-agent/blob/develop/docs/bitacora-bugs.md" TargetMode="External"/><Relationship Id="rId5" Type="http://schemas.openxmlformats.org/officeDocument/2006/relationships/hyperlink" Target="https://github.com/ariveraandrea1-ctrl/job-search-agent/blob/develop/docs/bitacora-bugs.m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n">
        <f aca="false">COUNTA('Registro y acceso'!A2:A100)</f>
        <v>5</v>
      </c>
      <c r="C5" s="4" t="n">
        <f aca="false">COUNTIF('Registro y acceso'!G2:G100,"Passed")</f>
        <v>5</v>
      </c>
      <c r="D5" s="4" t="n">
        <f aca="false">COUNTIF('Registro y acceso'!G2:G100,"Failed")</f>
        <v>0</v>
      </c>
      <c r="E5" s="5" t="n">
        <f aca="false">IF(B5=0,"-",C5/B5)</f>
        <v>1</v>
      </c>
    </row>
    <row r="6" customFormat="false" ht="15" hidden="false" customHeight="false" outlineLevel="0" collapsed="false">
      <c r="A6" s="4" t="s">
        <v>8</v>
      </c>
      <c r="B6" s="4" t="n">
        <f aca="false">COUNTA('CV y perfil'!A2:A100)</f>
        <v>7</v>
      </c>
      <c r="C6" s="4" t="n">
        <f aca="false">COUNTIF('CV y perfil'!G2:G100,"Passed")</f>
        <v>7</v>
      </c>
      <c r="D6" s="4" t="n">
        <f aca="false">COUNTIF('CV y perfil'!G2:G100,"Failed")</f>
        <v>0</v>
      </c>
      <c r="E6" s="5" t="n">
        <f aca="false">IF(B6=0,"-",C6/B6)</f>
        <v>1</v>
      </c>
    </row>
    <row r="7" customFormat="false" ht="15" hidden="false" customHeight="false" outlineLevel="0" collapsed="false">
      <c r="A7" s="4" t="s">
        <v>9</v>
      </c>
      <c r="B7" s="4" t="n">
        <f aca="false">COUNTA(Radar!A2:A100)</f>
        <v>7</v>
      </c>
      <c r="C7" s="4" t="n">
        <f aca="false">COUNTIF(Radar!G2:G100,"Passed")</f>
        <v>7</v>
      </c>
      <c r="D7" s="4" t="n">
        <f aca="false">COUNTIF(Radar!G2:G100,"Failed")</f>
        <v>0</v>
      </c>
      <c r="E7" s="5" t="n">
        <f aca="false">IF(B7=0,"-",C7/B7)</f>
        <v>1</v>
      </c>
    </row>
    <row r="8" customFormat="false" ht="15" hidden="false" customHeight="false" outlineLevel="0" collapsed="false">
      <c r="A8" s="4" t="s">
        <v>10</v>
      </c>
      <c r="B8" s="4" t="n">
        <f aca="false">COUNTA('Consultas por Telegram'!A2:A100)</f>
        <v>6</v>
      </c>
      <c r="C8" s="4" t="n">
        <f aca="false">COUNTIF('Consultas por Telegram'!G2:G100,"Passed")</f>
        <v>6</v>
      </c>
      <c r="D8" s="4" t="n">
        <f aca="false">COUNTIF('Consultas por Telegram'!G2:G100,"Failed")</f>
        <v>0</v>
      </c>
      <c r="E8" s="5" t="n">
        <f aca="false">IF(B8=0,"-",C8/B8)</f>
        <v>1</v>
      </c>
    </row>
    <row r="9" customFormat="false" ht="15" hidden="false" customHeight="false" outlineLevel="0" collapsed="false">
      <c r="A9" s="4" t="s">
        <v>11</v>
      </c>
      <c r="B9" s="4" t="n">
        <f aca="false">COUNTA('Resumen diario'!A2:A100)</f>
        <v>2</v>
      </c>
      <c r="C9" s="4" t="n">
        <f aca="false">COUNTIF('Resumen diario'!G2:G100,"Passed")</f>
        <v>2</v>
      </c>
      <c r="D9" s="4" t="n">
        <f aca="false">COUNTIF('Resumen diario'!G2:G100,"Failed")</f>
        <v>0</v>
      </c>
      <c r="E9" s="5" t="n">
        <f aca="false">IF(B9=0,"-",C9/B9)</f>
        <v>1</v>
      </c>
    </row>
    <row r="10" customFormat="false" ht="15" hidden="false" customHeight="false" outlineLevel="0" collapsed="false">
      <c r="A10" s="4" t="s">
        <v>12</v>
      </c>
      <c r="B10" s="4" t="n">
        <f aca="false">COUNTA('Fallos y recuperación'!A2:A100)</f>
        <v>3</v>
      </c>
      <c r="C10" s="4" t="n">
        <f aca="false">COUNTIF('Fallos y recuperación'!G2:G100,"Passed")</f>
        <v>3</v>
      </c>
      <c r="D10" s="4" t="n">
        <f aca="false">COUNTIF('Fallos y recuperación'!G2:G100,"Failed")</f>
        <v>0</v>
      </c>
      <c r="E10" s="5" t="n">
        <f aca="false">IF(B10=0,"-",C10/B10)</f>
        <v>1</v>
      </c>
    </row>
    <row r="11" customFormat="false" ht="15" hidden="false" customHeight="false" outlineLevel="0" collapsed="false">
      <c r="A11" s="4" t="s">
        <v>13</v>
      </c>
      <c r="B11" s="4" t="n">
        <f aca="false">COUNTA(Operación!A2:A100)</f>
        <v>2</v>
      </c>
      <c r="C11" s="4" t="n">
        <f aca="false">COUNTIF(Operación!G2:G100,"Passed")</f>
        <v>2</v>
      </c>
      <c r="D11" s="4" t="n">
        <f aca="false">COUNTIF(Operación!G2:G100,"Failed")</f>
        <v>0</v>
      </c>
      <c r="E11" s="5" t="n">
        <f aca="false">IF(B11=0,"-",C11/B11)</f>
        <v>1</v>
      </c>
    </row>
    <row r="12" customFormat="false" ht="15" hidden="false" customHeight="false" outlineLevel="0" collapsed="false">
      <c r="A12" s="6" t="s">
        <v>14</v>
      </c>
      <c r="B12" s="6" t="n">
        <f aca="false">SUM(B5:B11)</f>
        <v>32</v>
      </c>
      <c r="C12" s="6" t="n">
        <f aca="false">SUM(C5:C11)</f>
        <v>32</v>
      </c>
      <c r="D12" s="6" t="n">
        <f aca="false">SUM(D5:D11)</f>
        <v>0</v>
      </c>
      <c r="E12" s="7" t="n">
        <f aca="false">IF(B12=0,"-",C12/B12)</f>
        <v>1</v>
      </c>
    </row>
    <row r="14" customFormat="false" ht="15" hidden="false" customHeight="false" outlineLevel="0" collapsed="false">
      <c r="A14" s="8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4" min="4" style="0" width="44"/>
    <col collapsed="false" customWidth="true" hidden="false" outlineLevel="0" max="5" min="5" style="0" width="32"/>
    <col collapsed="false" customWidth="true" hidden="false" outlineLevel="0" max="6" min="6" style="0" width="44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26.85" hidden="false" customHeight="false" outlineLevel="0" collapsed="false">
      <c r="A1" s="9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</row>
    <row r="2" customFormat="false" ht="90.25" hidden="false" customHeight="false" outlineLevel="0" collapsed="false">
      <c r="A2" s="10" t="s">
        <v>24</v>
      </c>
      <c r="B2" s="10" t="s">
        <v>25</v>
      </c>
      <c r="C2" s="10" t="s">
        <v>26</v>
      </c>
      <c r="D2" s="10" t="s">
        <v>27</v>
      </c>
      <c r="E2" s="10" t="s">
        <v>28</v>
      </c>
      <c r="F2" s="10" t="s">
        <v>29</v>
      </c>
      <c r="G2" s="10" t="s">
        <v>4</v>
      </c>
      <c r="H2" s="10"/>
    </row>
    <row r="3" customFormat="false" ht="52.2" hidden="false" customHeight="false" outlineLevel="0" collapsed="false">
      <c r="A3" s="10" t="s">
        <v>30</v>
      </c>
      <c r="B3" s="10" t="s">
        <v>31</v>
      </c>
      <c r="C3" s="10" t="s">
        <v>32</v>
      </c>
      <c r="D3" s="10" t="s">
        <v>33</v>
      </c>
      <c r="E3" s="10" t="s">
        <v>34</v>
      </c>
      <c r="F3" s="10" t="s">
        <v>35</v>
      </c>
      <c r="G3" s="10" t="s">
        <v>4</v>
      </c>
      <c r="H3" s="10"/>
    </row>
    <row r="4" customFormat="false" ht="52.2" hidden="false" customHeight="false" outlineLevel="0" collapsed="false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40</v>
      </c>
      <c r="F4" s="10" t="s">
        <v>41</v>
      </c>
      <c r="G4" s="10" t="s">
        <v>4</v>
      </c>
      <c r="H4" s="10"/>
    </row>
    <row r="5" customFormat="false" ht="39.55" hidden="false" customHeight="false" outlineLevel="0" collapsed="false">
      <c r="A5" s="10" t="s">
        <v>42</v>
      </c>
      <c r="B5" s="10" t="s">
        <v>43</v>
      </c>
      <c r="C5" s="10" t="s">
        <v>44</v>
      </c>
      <c r="D5" s="10" t="s">
        <v>45</v>
      </c>
      <c r="E5" s="10" t="s">
        <v>46</v>
      </c>
      <c r="F5" s="10" t="s">
        <v>47</v>
      </c>
      <c r="G5" s="10" t="s">
        <v>4</v>
      </c>
      <c r="H5" s="10"/>
    </row>
    <row r="6" customFormat="false" ht="39.55" hidden="false" customHeight="false" outlineLevel="0" collapsed="false">
      <c r="A6" s="10" t="s">
        <v>48</v>
      </c>
      <c r="B6" s="10" t="s">
        <v>49</v>
      </c>
      <c r="C6" s="10" t="s">
        <v>50</v>
      </c>
      <c r="D6" s="10" t="s">
        <v>51</v>
      </c>
      <c r="E6" s="10" t="s">
        <v>52</v>
      </c>
      <c r="F6" s="10" t="s">
        <v>53</v>
      </c>
      <c r="G6" s="10" t="s">
        <v>4</v>
      </c>
      <c r="H6" s="10"/>
    </row>
  </sheetData>
  <dataValidations count="1">
    <dataValidation allowBlank="true" errorStyle="stop" operator="between" showDropDown="false" showErrorMessage="false" showInputMessage="false" sqref="G2:G6" type="list">
      <formula1>"Passed,Failed"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4" min="4" style="0" width="44"/>
    <col collapsed="false" customWidth="true" hidden="false" outlineLevel="0" max="5" min="5" style="0" width="32"/>
    <col collapsed="false" customWidth="true" hidden="false" outlineLevel="0" max="6" min="6" style="0" width="44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26.85" hidden="false" customHeight="false" outlineLevel="0" collapsed="false">
      <c r="A1" s="9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</row>
    <row r="2" customFormat="false" ht="64.9" hidden="false" customHeight="false" outlineLevel="0" collapsed="false">
      <c r="A2" s="10" t="s">
        <v>54</v>
      </c>
      <c r="B2" s="10" t="s">
        <v>55</v>
      </c>
      <c r="C2" s="10" t="s">
        <v>56</v>
      </c>
      <c r="D2" s="10" t="s">
        <v>57</v>
      </c>
      <c r="E2" s="10" t="s">
        <v>58</v>
      </c>
      <c r="F2" s="10" t="s">
        <v>59</v>
      </c>
      <c r="G2" s="10" t="s">
        <v>4</v>
      </c>
      <c r="H2" s="10"/>
    </row>
    <row r="3" customFormat="false" ht="102.95" hidden="false" customHeight="false" outlineLevel="0" collapsed="false">
      <c r="A3" s="10" t="s">
        <v>60</v>
      </c>
      <c r="B3" s="10" t="s">
        <v>61</v>
      </c>
      <c r="C3" s="10" t="s">
        <v>62</v>
      </c>
      <c r="D3" s="10" t="s">
        <v>63</v>
      </c>
      <c r="E3" s="10" t="s">
        <v>64</v>
      </c>
      <c r="F3" s="10" t="s">
        <v>65</v>
      </c>
      <c r="G3" s="10" t="s">
        <v>4</v>
      </c>
      <c r="H3" s="10"/>
    </row>
    <row r="4" customFormat="false" ht="52.2" hidden="false" customHeight="false" outlineLevel="0" collapsed="false">
      <c r="A4" s="10" t="s">
        <v>66</v>
      </c>
      <c r="B4" s="10" t="s">
        <v>67</v>
      </c>
      <c r="C4" s="10" t="s">
        <v>68</v>
      </c>
      <c r="D4" s="10" t="s">
        <v>69</v>
      </c>
      <c r="E4" s="10" t="s">
        <v>70</v>
      </c>
      <c r="F4" s="10" t="s">
        <v>71</v>
      </c>
      <c r="G4" s="10" t="s">
        <v>4</v>
      </c>
      <c r="H4" s="10"/>
    </row>
    <row r="5" customFormat="false" ht="52.2" hidden="false" customHeight="false" outlineLevel="0" collapsed="false">
      <c r="A5" s="10" t="s">
        <v>72</v>
      </c>
      <c r="B5" s="10" t="s">
        <v>73</v>
      </c>
      <c r="C5" s="10" t="s">
        <v>74</v>
      </c>
      <c r="D5" s="10" t="s">
        <v>75</v>
      </c>
      <c r="E5" s="10" t="s">
        <v>76</v>
      </c>
      <c r="F5" s="10" t="s">
        <v>77</v>
      </c>
      <c r="G5" s="10" t="s">
        <v>4</v>
      </c>
      <c r="H5" s="10"/>
    </row>
    <row r="6" customFormat="false" ht="39.55" hidden="false" customHeight="false" outlineLevel="0" collapsed="false">
      <c r="A6" s="10" t="s">
        <v>78</v>
      </c>
      <c r="B6" s="10" t="s">
        <v>79</v>
      </c>
      <c r="C6" s="10" t="s">
        <v>80</v>
      </c>
      <c r="D6" s="10" t="s">
        <v>81</v>
      </c>
      <c r="E6" s="10" t="s">
        <v>82</v>
      </c>
      <c r="F6" s="10" t="s">
        <v>83</v>
      </c>
      <c r="G6" s="10" t="s">
        <v>4</v>
      </c>
      <c r="H6" s="10"/>
    </row>
    <row r="7" customFormat="false" ht="39.55" hidden="false" customHeight="false" outlineLevel="0" collapsed="false">
      <c r="A7" s="10" t="s">
        <v>84</v>
      </c>
      <c r="B7" s="10" t="s">
        <v>85</v>
      </c>
      <c r="C7" s="10" t="s">
        <v>86</v>
      </c>
      <c r="D7" s="10" t="s">
        <v>87</v>
      </c>
      <c r="E7" s="10" t="s">
        <v>88</v>
      </c>
      <c r="F7" s="10" t="s">
        <v>89</v>
      </c>
      <c r="G7" s="10" t="s">
        <v>4</v>
      </c>
      <c r="H7" s="10"/>
    </row>
    <row r="8" customFormat="false" ht="39.55" hidden="false" customHeight="false" outlineLevel="0" collapsed="false">
      <c r="A8" s="10" t="s">
        <v>90</v>
      </c>
      <c r="B8" s="10" t="s">
        <v>91</v>
      </c>
      <c r="C8" s="10" t="s">
        <v>92</v>
      </c>
      <c r="D8" s="10" t="s">
        <v>93</v>
      </c>
      <c r="E8" s="10" t="s">
        <v>94</v>
      </c>
      <c r="F8" s="10" t="s">
        <v>95</v>
      </c>
      <c r="G8" s="10" t="s">
        <v>4</v>
      </c>
      <c r="H8" s="10"/>
    </row>
  </sheetData>
  <dataValidations count="1">
    <dataValidation allowBlank="true" errorStyle="stop" operator="between" showDropDown="false" showErrorMessage="false" showInputMessage="false" sqref="G2:G8" type="list">
      <formula1>"Passed,Failed"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4" min="4" style="0" width="44"/>
    <col collapsed="false" customWidth="true" hidden="false" outlineLevel="0" max="5" min="5" style="0" width="32"/>
    <col collapsed="false" customWidth="true" hidden="false" outlineLevel="0" max="6" min="6" style="0" width="44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26.85" hidden="false" customHeight="false" outlineLevel="0" collapsed="false">
      <c r="A1" s="9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</row>
    <row r="2" customFormat="false" ht="64.9" hidden="false" customHeight="false" outlineLevel="0" collapsed="false">
      <c r="A2" s="10" t="s">
        <v>96</v>
      </c>
      <c r="B2" s="10" t="s">
        <v>97</v>
      </c>
      <c r="C2" s="10" t="s">
        <v>98</v>
      </c>
      <c r="D2" s="10" t="s">
        <v>99</v>
      </c>
      <c r="E2" s="10" t="s">
        <v>100</v>
      </c>
      <c r="F2" s="10" t="s">
        <v>101</v>
      </c>
      <c r="G2" s="10" t="s">
        <v>4</v>
      </c>
      <c r="H2" s="10"/>
    </row>
    <row r="3" customFormat="false" ht="64.9" hidden="false" customHeight="false" outlineLevel="0" collapsed="false">
      <c r="A3" s="10" t="s">
        <v>102</v>
      </c>
      <c r="B3" s="10" t="s">
        <v>103</v>
      </c>
      <c r="C3" s="10" t="s">
        <v>104</v>
      </c>
      <c r="D3" s="10" t="s">
        <v>105</v>
      </c>
      <c r="E3" s="10" t="s">
        <v>106</v>
      </c>
      <c r="F3" s="10" t="s">
        <v>107</v>
      </c>
      <c r="G3" s="10" t="s">
        <v>4</v>
      </c>
      <c r="H3" s="10"/>
    </row>
    <row r="4" customFormat="false" ht="102.95" hidden="false" customHeight="false" outlineLevel="0" collapsed="false">
      <c r="A4" s="10" t="s">
        <v>108</v>
      </c>
      <c r="B4" s="10" t="s">
        <v>109</v>
      </c>
      <c r="C4" s="10" t="s">
        <v>110</v>
      </c>
      <c r="D4" s="10" t="s">
        <v>111</v>
      </c>
      <c r="E4" s="10" t="s">
        <v>112</v>
      </c>
      <c r="F4" s="10" t="s">
        <v>113</v>
      </c>
      <c r="G4" s="10" t="s">
        <v>4</v>
      </c>
      <c r="H4" s="11" t="s">
        <v>114</v>
      </c>
    </row>
    <row r="5" customFormat="false" ht="115.65" hidden="false" customHeight="false" outlineLevel="0" collapsed="false">
      <c r="A5" s="10" t="s">
        <v>115</v>
      </c>
      <c r="B5" s="10" t="s">
        <v>116</v>
      </c>
      <c r="C5" s="10" t="s">
        <v>117</v>
      </c>
      <c r="D5" s="10" t="s">
        <v>118</v>
      </c>
      <c r="E5" s="10" t="s">
        <v>119</v>
      </c>
      <c r="F5" s="10" t="s">
        <v>120</v>
      </c>
      <c r="G5" s="10" t="s">
        <v>4</v>
      </c>
      <c r="H5" s="10"/>
    </row>
    <row r="6" customFormat="false" ht="52.2" hidden="false" customHeight="false" outlineLevel="0" collapsed="false">
      <c r="A6" s="10" t="s">
        <v>121</v>
      </c>
      <c r="B6" s="10" t="s">
        <v>122</v>
      </c>
      <c r="C6" s="10" t="s">
        <v>123</v>
      </c>
      <c r="D6" s="10" t="s">
        <v>124</v>
      </c>
      <c r="E6" s="10" t="s">
        <v>125</v>
      </c>
      <c r="F6" s="10" t="s">
        <v>126</v>
      </c>
      <c r="G6" s="10" t="s">
        <v>4</v>
      </c>
      <c r="H6" s="10"/>
    </row>
    <row r="7" customFormat="false" ht="64.9" hidden="false" customHeight="false" outlineLevel="0" collapsed="false">
      <c r="A7" s="10" t="s">
        <v>127</v>
      </c>
      <c r="B7" s="10" t="s">
        <v>128</v>
      </c>
      <c r="C7" s="10" t="s">
        <v>129</v>
      </c>
      <c r="D7" s="10" t="s">
        <v>130</v>
      </c>
      <c r="E7" s="10" t="s">
        <v>131</v>
      </c>
      <c r="F7" s="10" t="s">
        <v>132</v>
      </c>
      <c r="G7" s="10" t="s">
        <v>4</v>
      </c>
      <c r="H7" s="10"/>
    </row>
    <row r="8" customFormat="false" ht="115.65" hidden="false" customHeight="false" outlineLevel="0" collapsed="false">
      <c r="A8" s="10" t="s">
        <v>133</v>
      </c>
      <c r="B8" s="10" t="s">
        <v>134</v>
      </c>
      <c r="C8" s="10" t="s">
        <v>135</v>
      </c>
      <c r="D8" s="10" t="s">
        <v>136</v>
      </c>
      <c r="E8" s="10" t="s">
        <v>137</v>
      </c>
      <c r="F8" s="10" t="s">
        <v>138</v>
      </c>
      <c r="G8" s="10" t="s">
        <v>4</v>
      </c>
      <c r="H8" s="11" t="s">
        <v>139</v>
      </c>
    </row>
  </sheetData>
  <dataValidations count="1">
    <dataValidation allowBlank="true" errorStyle="stop" operator="between" showDropDown="false" showErrorMessage="false" showInputMessage="false" sqref="G2:G8" type="list">
      <formula1>"Passed,Failed"</formula1>
      <formula2>0</formula2>
    </dataValidation>
  </dataValidations>
  <hyperlinks>
    <hyperlink ref="H4" r:id="rId1" location="bug-33-vacante-no-muestra-el-número-de-la-vacante" display="BUG-33"/>
    <hyperlink ref="H8" r:id="rId2" location="bug-35-el-filtro-de-ubicación-deja-pasar-méxico-escrito-como-mex-o-cmx" display="BUG-3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4" min="4" style="0" width="44"/>
    <col collapsed="false" customWidth="true" hidden="false" outlineLevel="0" max="5" min="5" style="0" width="32"/>
    <col collapsed="false" customWidth="true" hidden="false" outlineLevel="0" max="6" min="6" style="0" width="44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26.85" hidden="false" customHeight="false" outlineLevel="0" collapsed="false">
      <c r="A1" s="9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</row>
    <row r="2" customFormat="false" ht="52.2" hidden="false" customHeight="false" outlineLevel="0" collapsed="false">
      <c r="A2" s="10" t="s">
        <v>140</v>
      </c>
      <c r="B2" s="10" t="s">
        <v>141</v>
      </c>
      <c r="C2" s="10" t="s">
        <v>142</v>
      </c>
      <c r="D2" s="10" t="s">
        <v>143</v>
      </c>
      <c r="E2" s="10" t="s">
        <v>144</v>
      </c>
      <c r="F2" s="10" t="s">
        <v>145</v>
      </c>
      <c r="G2" s="10" t="s">
        <v>4</v>
      </c>
      <c r="H2" s="10"/>
    </row>
    <row r="3" customFormat="false" ht="64.9" hidden="false" customHeight="false" outlineLevel="0" collapsed="false">
      <c r="A3" s="10" t="s">
        <v>146</v>
      </c>
      <c r="B3" s="10" t="s">
        <v>147</v>
      </c>
      <c r="C3" s="10" t="s">
        <v>148</v>
      </c>
      <c r="D3" s="10" t="s">
        <v>149</v>
      </c>
      <c r="E3" s="10" t="s">
        <v>150</v>
      </c>
      <c r="F3" s="10" t="s">
        <v>151</v>
      </c>
      <c r="G3" s="10" t="s">
        <v>4</v>
      </c>
      <c r="H3" s="10"/>
    </row>
    <row r="4" customFormat="false" ht="39.55" hidden="false" customHeight="false" outlineLevel="0" collapsed="false">
      <c r="A4" s="10" t="s">
        <v>152</v>
      </c>
      <c r="B4" s="10" t="s">
        <v>153</v>
      </c>
      <c r="C4" s="10" t="s">
        <v>154</v>
      </c>
      <c r="D4" s="10" t="s">
        <v>155</v>
      </c>
      <c r="E4" s="10" t="s">
        <v>156</v>
      </c>
      <c r="F4" s="10" t="s">
        <v>157</v>
      </c>
      <c r="G4" s="10" t="s">
        <v>4</v>
      </c>
      <c r="H4" s="10"/>
    </row>
    <row r="5" customFormat="false" ht="128.35" hidden="false" customHeight="false" outlineLevel="0" collapsed="false">
      <c r="A5" s="10" t="s">
        <v>158</v>
      </c>
      <c r="B5" s="10" t="s">
        <v>159</v>
      </c>
      <c r="C5" s="10" t="s">
        <v>160</v>
      </c>
      <c r="D5" s="10" t="s">
        <v>161</v>
      </c>
      <c r="E5" s="10" t="s">
        <v>162</v>
      </c>
      <c r="F5" s="10" t="s">
        <v>163</v>
      </c>
      <c r="G5" s="10" t="s">
        <v>4</v>
      </c>
      <c r="H5" s="11" t="s">
        <v>164</v>
      </c>
    </row>
    <row r="6" customFormat="false" ht="39.55" hidden="false" customHeight="false" outlineLevel="0" collapsed="false">
      <c r="A6" s="10" t="s">
        <v>165</v>
      </c>
      <c r="B6" s="10" t="s">
        <v>166</v>
      </c>
      <c r="C6" s="10" t="s">
        <v>167</v>
      </c>
      <c r="D6" s="10" t="s">
        <v>168</v>
      </c>
      <c r="E6" s="10" t="s">
        <v>169</v>
      </c>
      <c r="F6" s="10" t="s">
        <v>170</v>
      </c>
      <c r="G6" s="10" t="s">
        <v>4</v>
      </c>
      <c r="H6" s="10"/>
    </row>
    <row r="7" customFormat="false" ht="153.7" hidden="false" customHeight="false" outlineLevel="0" collapsed="false">
      <c r="A7" s="10" t="s">
        <v>171</v>
      </c>
      <c r="B7" s="10" t="s">
        <v>172</v>
      </c>
      <c r="C7" s="10" t="s">
        <v>173</v>
      </c>
      <c r="D7" s="10" t="s">
        <v>174</v>
      </c>
      <c r="E7" s="10" t="s">
        <v>175</v>
      </c>
      <c r="F7" s="10" t="s">
        <v>176</v>
      </c>
      <c r="G7" s="10" t="s">
        <v>4</v>
      </c>
      <c r="H7" s="11" t="s">
        <v>177</v>
      </c>
    </row>
  </sheetData>
  <dataValidations count="1">
    <dataValidation allowBlank="true" errorStyle="stop" operator="between" showDropDown="false" showErrorMessage="false" showInputMessage="false" sqref="G2:G7" type="list">
      <formula1>"Passed,Failed"</formula1>
      <formula2>0</formula2>
    </dataValidation>
  </dataValidations>
  <hyperlinks>
    <hyperlink ref="H5" r:id="rId1" location="bug-32-preferencias-descarta-en-silencio-las-palabras-después-de-la-15" display="BUG-32"/>
    <hyperlink ref="H7" r:id="rId2" location="bug-34-con-el-radar-en-pausa-siguen-llegando-avisos-por-correo" display="BUG-3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4" min="4" style="0" width="44"/>
    <col collapsed="false" customWidth="true" hidden="false" outlineLevel="0" max="5" min="5" style="0" width="32"/>
    <col collapsed="false" customWidth="true" hidden="false" outlineLevel="0" max="6" min="6" style="0" width="44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26.85" hidden="false" customHeight="false" outlineLevel="0" collapsed="false">
      <c r="A1" s="9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</row>
    <row r="2" customFormat="false" ht="52.2" hidden="false" customHeight="false" outlineLevel="0" collapsed="false">
      <c r="A2" s="10" t="s">
        <v>178</v>
      </c>
      <c r="B2" s="10" t="s">
        <v>179</v>
      </c>
      <c r="C2" s="10" t="s">
        <v>180</v>
      </c>
      <c r="D2" s="10" t="s">
        <v>181</v>
      </c>
      <c r="E2" s="10" t="s">
        <v>182</v>
      </c>
      <c r="F2" s="10" t="s">
        <v>183</v>
      </c>
      <c r="G2" s="10" t="s">
        <v>4</v>
      </c>
      <c r="H2" s="10"/>
    </row>
    <row r="3" customFormat="false" ht="39.55" hidden="false" customHeight="false" outlineLevel="0" collapsed="false">
      <c r="A3" s="10" t="s">
        <v>184</v>
      </c>
      <c r="B3" s="10" t="s">
        <v>185</v>
      </c>
      <c r="C3" s="10" t="s">
        <v>186</v>
      </c>
      <c r="D3" s="10" t="s">
        <v>187</v>
      </c>
      <c r="E3" s="10" t="s">
        <v>188</v>
      </c>
      <c r="F3" s="10" t="s">
        <v>189</v>
      </c>
      <c r="G3" s="10" t="s">
        <v>4</v>
      </c>
      <c r="H3" s="10"/>
    </row>
  </sheetData>
  <dataValidations count="1">
    <dataValidation allowBlank="true" errorStyle="stop" operator="between" showDropDown="false" showErrorMessage="false" showInputMessage="false" sqref="G2:G3" type="list">
      <formula1>"Passed,Failed"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4" min="4" style="0" width="44"/>
    <col collapsed="false" customWidth="true" hidden="false" outlineLevel="0" max="5" min="5" style="0" width="32"/>
    <col collapsed="false" customWidth="true" hidden="false" outlineLevel="0" max="6" min="6" style="0" width="44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26.85" hidden="false" customHeight="false" outlineLevel="0" collapsed="false">
      <c r="A1" s="9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</row>
    <row r="2" customFormat="false" ht="39.55" hidden="false" customHeight="false" outlineLevel="0" collapsed="false">
      <c r="A2" s="10" t="s">
        <v>190</v>
      </c>
      <c r="B2" s="10" t="s">
        <v>191</v>
      </c>
      <c r="C2" s="10" t="s">
        <v>192</v>
      </c>
      <c r="D2" s="10" t="s">
        <v>193</v>
      </c>
      <c r="E2" s="10" t="s">
        <v>194</v>
      </c>
      <c r="F2" s="10" t="s">
        <v>195</v>
      </c>
      <c r="G2" s="10" t="s">
        <v>4</v>
      </c>
      <c r="H2" s="10"/>
    </row>
    <row r="3" customFormat="false" ht="52.2" hidden="false" customHeight="false" outlineLevel="0" collapsed="false">
      <c r="A3" s="10" t="s">
        <v>196</v>
      </c>
      <c r="B3" s="10" t="s">
        <v>197</v>
      </c>
      <c r="C3" s="10" t="s">
        <v>198</v>
      </c>
      <c r="D3" s="10" t="s">
        <v>199</v>
      </c>
      <c r="E3" s="10" t="s">
        <v>200</v>
      </c>
      <c r="F3" s="10" t="s">
        <v>201</v>
      </c>
      <c r="G3" s="10" t="s">
        <v>4</v>
      </c>
      <c r="H3" s="10"/>
    </row>
    <row r="4" customFormat="false" ht="39.55" hidden="false" customHeight="false" outlineLevel="0" collapsed="false">
      <c r="A4" s="10" t="s">
        <v>202</v>
      </c>
      <c r="B4" s="10" t="s">
        <v>203</v>
      </c>
      <c r="C4" s="10" t="s">
        <v>204</v>
      </c>
      <c r="D4" s="10" t="s">
        <v>205</v>
      </c>
      <c r="E4" s="10" t="s">
        <v>206</v>
      </c>
      <c r="F4" s="10" t="s">
        <v>207</v>
      </c>
      <c r="G4" s="10" t="s">
        <v>4</v>
      </c>
      <c r="H4" s="10"/>
    </row>
  </sheetData>
  <dataValidations count="1">
    <dataValidation allowBlank="true" errorStyle="stop" operator="between" showDropDown="false" showErrorMessage="false" showInputMessage="false" sqref="G2:G4" type="list">
      <formula1>"Passed,Failed"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4" min="4" style="0" width="44"/>
    <col collapsed="false" customWidth="true" hidden="false" outlineLevel="0" max="5" min="5" style="0" width="32"/>
    <col collapsed="false" customWidth="true" hidden="false" outlineLevel="0" max="6" min="6" style="0" width="44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26.85" hidden="false" customHeight="false" outlineLevel="0" collapsed="false">
      <c r="A1" s="9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</row>
    <row r="2" customFormat="false" ht="39.55" hidden="false" customHeight="false" outlineLevel="0" collapsed="false">
      <c r="A2" s="10" t="s">
        <v>208</v>
      </c>
      <c r="B2" s="10" t="s">
        <v>209</v>
      </c>
      <c r="C2" s="10" t="s">
        <v>210</v>
      </c>
      <c r="D2" s="10" t="s">
        <v>211</v>
      </c>
      <c r="E2" s="10" t="s">
        <v>212</v>
      </c>
      <c r="F2" s="10" t="s">
        <v>213</v>
      </c>
      <c r="G2" s="10" t="s">
        <v>4</v>
      </c>
      <c r="H2" s="10"/>
    </row>
    <row r="3" customFormat="false" ht="52.2" hidden="false" customHeight="false" outlineLevel="0" collapsed="false">
      <c r="A3" s="10" t="s">
        <v>214</v>
      </c>
      <c r="B3" s="10" t="s">
        <v>215</v>
      </c>
      <c r="C3" s="10" t="s">
        <v>216</v>
      </c>
      <c r="D3" s="10" t="s">
        <v>217</v>
      </c>
      <c r="E3" s="10" t="s">
        <v>218</v>
      </c>
      <c r="F3" s="10" t="s">
        <v>219</v>
      </c>
      <c r="G3" s="10" t="s">
        <v>4</v>
      </c>
      <c r="H3" s="10"/>
    </row>
  </sheetData>
  <dataValidations count="1">
    <dataValidation allowBlank="true" errorStyle="stop" operator="between" showDropDown="false" showErrorMessage="false" showInputMessage="false" sqref="G2:G3" type="list">
      <formula1>"Passed,Failed"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20"/>
  </cols>
  <sheetData>
    <row r="1" customFormat="false" ht="26.85" hidden="false" customHeight="false" outlineLevel="0" collapsed="false">
      <c r="A1" s="9" t="s">
        <v>220</v>
      </c>
      <c r="B1" s="9" t="s">
        <v>221</v>
      </c>
      <c r="C1" s="9" t="s">
        <v>222</v>
      </c>
      <c r="D1" s="9" t="s">
        <v>223</v>
      </c>
      <c r="E1" s="9" t="s">
        <v>224</v>
      </c>
      <c r="F1" s="9" t="s">
        <v>225</v>
      </c>
      <c r="G1" s="9" t="s">
        <v>226</v>
      </c>
    </row>
    <row r="2" customFormat="false" ht="52.2" hidden="false" customHeight="false" outlineLevel="0" collapsed="false">
      <c r="A2" s="10" t="s">
        <v>164</v>
      </c>
      <c r="B2" s="10" t="s">
        <v>227</v>
      </c>
      <c r="C2" s="10" t="s">
        <v>228</v>
      </c>
      <c r="D2" s="10" t="s">
        <v>229</v>
      </c>
      <c r="E2" s="10" t="s">
        <v>158</v>
      </c>
      <c r="F2" s="10" t="s">
        <v>230</v>
      </c>
      <c r="G2" s="12" t="s">
        <v>231</v>
      </c>
    </row>
    <row r="3" customFormat="false" ht="52.2" hidden="false" customHeight="false" outlineLevel="0" collapsed="false">
      <c r="A3" s="10" t="s">
        <v>114</v>
      </c>
      <c r="B3" s="10" t="s">
        <v>232</v>
      </c>
      <c r="C3" s="10" t="s">
        <v>228</v>
      </c>
      <c r="D3" s="10" t="s">
        <v>229</v>
      </c>
      <c r="E3" s="10" t="s">
        <v>108</v>
      </c>
      <c r="F3" s="10" t="s">
        <v>230</v>
      </c>
      <c r="G3" s="12" t="s">
        <v>231</v>
      </c>
    </row>
    <row r="4" customFormat="false" ht="52.2" hidden="false" customHeight="false" outlineLevel="0" collapsed="false">
      <c r="A4" s="10" t="s">
        <v>177</v>
      </c>
      <c r="B4" s="10" t="s">
        <v>233</v>
      </c>
      <c r="C4" s="10" t="s">
        <v>229</v>
      </c>
      <c r="D4" s="10" t="s">
        <v>234</v>
      </c>
      <c r="E4" s="10" t="s">
        <v>171</v>
      </c>
      <c r="F4" s="10" t="s">
        <v>235</v>
      </c>
      <c r="G4" s="12" t="s">
        <v>231</v>
      </c>
    </row>
    <row r="5" customFormat="false" ht="52.2" hidden="false" customHeight="false" outlineLevel="0" collapsed="false">
      <c r="A5" s="10" t="s">
        <v>139</v>
      </c>
      <c r="B5" s="10" t="s">
        <v>236</v>
      </c>
      <c r="C5" s="10" t="s">
        <v>229</v>
      </c>
      <c r="D5" s="10" t="s">
        <v>229</v>
      </c>
      <c r="E5" s="10" t="s">
        <v>133</v>
      </c>
      <c r="F5" s="10" t="s">
        <v>235</v>
      </c>
      <c r="G5" s="12" t="s">
        <v>231</v>
      </c>
    </row>
    <row r="6" customFormat="false" ht="52.2" hidden="false" customHeight="false" outlineLevel="0" collapsed="false">
      <c r="A6" s="10" t="s">
        <v>237</v>
      </c>
      <c r="B6" s="10" t="s">
        <v>238</v>
      </c>
      <c r="C6" s="10" t="s">
        <v>229</v>
      </c>
      <c r="D6" s="10" t="s">
        <v>234</v>
      </c>
      <c r="E6" s="10" t="s">
        <v>171</v>
      </c>
      <c r="F6" s="10" t="s">
        <v>230</v>
      </c>
      <c r="G6" s="12" t="s">
        <v>231</v>
      </c>
    </row>
    <row r="8" customFormat="false" ht="15" hidden="false" customHeight="false" outlineLevel="0" collapsed="false">
      <c r="A8" s="8" t="s">
        <v>239</v>
      </c>
    </row>
  </sheetData>
  <hyperlinks>
    <hyperlink ref="G2" r:id="rId1" location="bug-32-preferencias-descarta-en-silencio-las-palabras-después-de-la-15" display="Ver en la bitácora"/>
    <hyperlink ref="G3" r:id="rId2" location="bug-33-vacante-no-muestra-el-número-de-la-vacante" display="Ver en la bitácora"/>
    <hyperlink ref="G4" r:id="rId3" location="bug-34-con-el-radar-en-pausa-siguen-llegando-avisos-por-correo" display="Ver en la bitácora"/>
    <hyperlink ref="G5" r:id="rId4" location="bug-35-el-filtro-de-ubicación-deja-pasar-méxico-escrito-como-mex-o-cmx" display="Ver en la bitácora"/>
    <hyperlink ref="G6" r:id="rId5" location="bug-36-tras-reiniciar-el-bot-no-recibe-mensajes-y-start-localsh-dice-listo-igual" display="Ver en la bitácor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2026-10-11T21:39:01Z</dcterms:created>
  <dc:creator>openpyxl</dc:creator>
  <dc:description/>
  <dc:language>en-US</dc:language>
  <cp:lastModifiedBy/>
  <dcterms:modified xsi:type="dcterms:W3CDTF">2026-10-11T21:39:01Z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